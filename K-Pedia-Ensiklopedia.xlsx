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WIKI_KATEGORI" sheetId="2" state="visible" r:id="rId4"/>
    <sheet name="WIKI" sheetId="3" state="visible" r:id="rId5"/>
  </sheets>
  <definedNames>
    <definedName function="false" hidden="true" localSheetId="2" name="_xlnm._FilterDatabase" vbProcedure="false">WIKI!$A$1:$J$46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<sst xmlns="http://schemas.openxmlformats.org/spreadsheetml/2006/main" count="475" uniqueCount="307">
  <si>
    <t xml:space="preserve">K-Pedia — Database Ensiklopedia KAI</t>
  </si>
  <si>
    <t xml:space="preserve">Cara memakai</t>
  </si>
  <si>
    <t xml:space="preserve">1</t>
  </si>
  <si>
    <t xml:space="preserve">Edit sheet WIKI untuk menambah atau mengubah topik. Setiap baris = satu topik.</t>
  </si>
  <si>
    <t xml:space="preserve">2</t>
  </si>
  <si>
    <t xml:space="preserve">Edit sheet WIKI_KATEGORI untuk mengatur kategori (nama, urutan, deskripsi).</t>
  </si>
  <si>
    <t xml:space="preserve">3</t>
  </si>
  <si>
    <t xml:space="preserve">Teks biru = isian yang boleh kamu ubah. Jangan mengubah nama sheet maupun judul kolom (baris 1).</t>
  </si>
  <si>
    <t xml:space="preserve">4</t>
  </si>
  <si>
    <t xml:space="preserve">ID harus unik, huruf kecil, tanpa spasi (contoh: batal-antarkota). KATEGORI harus sama dengan ID di WIKI_KATEGORI.</t>
  </si>
  <si>
    <t xml:space="preserve">5</t>
  </si>
  <si>
    <t xml:space="preserve">AKTIF: isi Ya untuk tampil, Tidak untuk menyembunyikan topik tanpa menghapusnya.</t>
  </si>
  <si>
    <t xml:space="preserve">6</t>
  </si>
  <si>
    <t xml:space="preserve">Nanti setelah spreadsheet siap, minta K-Pedia disambungkan: ID Google Sheets ini akan diisi di content.js.</t>
  </si>
  <si>
    <t xml:space="preserve">Format kolom ISI</t>
  </si>
  <si>
    <t xml:space="preserve">Paragraf</t>
  </si>
  <si>
    <t xml:space="preserve">Pisahkan paragraf dengan satu baris kosong (Alt+Enter dua kali di dalam sel).</t>
  </si>
  <si>
    <t xml:space="preserve">Poin</t>
  </si>
  <si>
    <t xml:space="preserve">Awali baris dengan tanda minus dan spasi:  - Contoh poin</t>
  </si>
  <si>
    <t xml:space="preserve">Langkah</t>
  </si>
  <si>
    <t xml:space="preserve">Awali baris dengan angka, titik, spasi:  1. Contoh langkah</t>
  </si>
  <si>
    <t xml:space="preserve">TAG</t>
  </si>
  <si>
    <t xml:space="preserve">Kata kunci dipisah koma, dipakai untuk pencarian. Contoh: batal, refund, antar kota</t>
  </si>
  <si>
    <t xml:space="preserve">DIPERBARUI</t>
  </si>
  <si>
    <t xml:space="preserve">Tulis tanggal dengan format TTTT-BB-HH, contoh 2026-10-18.</t>
  </si>
  <si>
    <t xml:space="preserve">Catatan isi</t>
  </si>
  <si>
    <t xml:space="preserve">Kolom SUMBER mencatat asal informasi. Baris yang bertuliskan 'Perlu verifikasi' ditulis dari pengetahuan umum dan wajib dicek ke sumber resmi KAI sebelum dipublikasikan.</t>
  </si>
  <si>
    <t xml:space="preserve">Ringkasan jumlah topik aktif per kategori</t>
  </si>
  <si>
    <t xml:space="preserve">Kategori</t>
  </si>
  <si>
    <t xml:space="preserve">Jumlah topik aktif</t>
  </si>
  <si>
    <t xml:space="preserve">Total</t>
  </si>
  <si>
    <t xml:space="preserve">ID</t>
  </si>
  <si>
    <t xml:space="preserve">NAMA</t>
  </si>
  <si>
    <t xml:space="preserve">DESKRIPSI</t>
  </si>
  <si>
    <t xml:space="preserve">IKON</t>
  </si>
  <si>
    <t xml:space="preserve">URUTAN</t>
  </si>
  <si>
    <t xml:space="preserve">istilah</t>
  </si>
  <si>
    <t xml:space="preserve">Istilah KAI</t>
  </si>
  <si>
    <t xml:space="preserve">Singkatan dan istilah yang dipakai di dunia perkeretaapian.</t>
  </si>
  <si>
    <t xml:space="preserve">book</t>
  </si>
  <si>
    <t xml:space="preserve">rangkaian</t>
  </si>
  <si>
    <t xml:space="preserve">Jenis rangkaian</t>
  </si>
  <si>
    <t xml:space="preserve">Kelas layanan, lokomotif, kereta, dan jenis layanan.</t>
  </si>
  <si>
    <t xml:space="preserve">train</t>
  </si>
  <si>
    <t xml:space="preserve">pemesanan</t>
  </si>
  <si>
    <t xml:space="preserve">Cara pemesanan tiket</t>
  </si>
  <si>
    <t xml:space="preserve">Langkah membeli tiket KA antar kota, lokal, dan KRL.</t>
  </si>
  <si>
    <t xml:space="preserve">ticket</t>
  </si>
  <si>
    <t xml:space="preserve">pembatalan</t>
  </si>
  <si>
    <t xml:space="preserve">Pembatalan tiket</t>
  </si>
  <si>
    <t xml:space="preserve">Ketentuan dan cara membatalkan tiket.</t>
  </si>
  <si>
    <t xml:space="preserve">refund</t>
  </si>
  <si>
    <t xml:space="preserve">layanan</t>
  </si>
  <si>
    <t xml:space="preserve">Layanan &amp; bantuan</t>
  </si>
  <si>
    <t xml:space="preserve">Aplikasi, kontak, dan kanal bantuan pelanggan.</t>
  </si>
  <si>
    <t xml:space="preserve">help</t>
  </si>
  <si>
    <t xml:space="preserve">umum</t>
  </si>
  <si>
    <t xml:space="preserve">Seputar kereta api</t>
  </si>
  <si>
    <t xml:space="preserve">Sejarah singkat dan pengetahuan umum perkeretaapian.</t>
  </si>
  <si>
    <t xml:space="preserve">info</t>
  </si>
  <si>
    <t xml:space="preserve">KATEGORI</t>
  </si>
  <si>
    <t xml:space="preserve">JUDUL</t>
  </si>
  <si>
    <t xml:space="preserve">RINGKASAN</t>
  </si>
  <si>
    <t xml:space="preserve">ISI</t>
  </si>
  <si>
    <t xml:space="preserve">SUMBER</t>
  </si>
  <si>
    <t xml:space="preserve">AKTIF</t>
  </si>
  <si>
    <t xml:space="preserve">daop</t>
  </si>
  <si>
    <t xml:space="preserve">Daop (Daerah Operasi)</t>
  </si>
  <si>
    <t xml:space="preserve">Wilayah kerja KAI di Pulau Jawa yang mengelola operasi kereta api dan stasiun di wilayahnya.</t>
  </si>
  <si>
    <t xml:space="preserve">Daop adalah pembagian wilayah kerja KAI di Pulau Jawa. Setiap Daop mengelola perjalanan kereta, stasiun, dan prasarana di wilayahnya.
Contoh: Daop 1 Jakarta, Daop 2 Bandung, Daop 6 Yogyakarta, Daop 8 Surabaya.
Di K-Pedia, nama Daop dipakai untuk mengelompokkan stasiun pada menu Nama Stasiun.</t>
  </si>
  <si>
    <t xml:space="preserve">daop, wilayah, operasi</t>
  </si>
  <si>
    <t xml:space="preserve">Pengetahuan umum perkeretaapian. Perlu verifikasi.</t>
  </si>
  <si>
    <t xml:space="preserve">2026-10-18</t>
  </si>
  <si>
    <t xml:space="preserve">Ya</t>
  </si>
  <si>
    <t xml:space="preserve">divre</t>
  </si>
  <si>
    <t xml:space="preserve">Divre (Divisi Regional)</t>
  </si>
  <si>
    <t xml:space="preserve">Wilayah kerja KAI di Pulau Sumatera, setara Daop di Jawa.</t>
  </si>
  <si>
    <t xml:space="preserve">Divre adalah pembagian wilayah kerja KAI di Pulau Sumatera.
Contoh: Divre I Sumatera Utara, Divre II Sumatera Barat, Divre III Palembang, Divre IV Tanjungkarang.</t>
  </si>
  <si>
    <t xml:space="preserve">divre, sumatera, wilayah</t>
  </si>
  <si>
    <t xml:space="preserve">kajj</t>
  </si>
  <si>
    <t xml:space="preserve">KAJJ (KA Jarak Jauh)</t>
  </si>
  <si>
    <t xml:space="preserve">Kereta api antar kota yang melayani perjalanan jarak jauh.</t>
  </si>
  <si>
    <t xml:space="preserve">KAJJ atau KA antar kota melayani perjalanan antar kota dengan jarak jauh. Tiket dipesan lewat Access by KAI atau loket stasiun, dan data identitas penumpang harus sesuai.
Kelas yang umum ditemui: Eksekutif, Bisnis, dan Ekonomi, ditambah varian seperti Ekonomi Premium atau Luxury pada kereta tertentu.</t>
  </si>
  <si>
    <t xml:space="preserve">antar kota, kajj, jarak jauh</t>
  </si>
  <si>
    <t xml:space="preserve">ka-lokal</t>
  </si>
  <si>
    <t xml:space="preserve">KA Lokal</t>
  </si>
  <si>
    <t xml:space="preserve">Kereta api jarak pendek sampai menengah antar stasiun dalam satu wilayah.</t>
  </si>
  <si>
    <t xml:space="preserve">KA Lokal melayani perjalanan jarak pendek sampai menengah, biasanya dalam satu wilayah atau antar kota yang berdekatan. Tarif umumnya tetap sesuai relasi.
Ketentuan pembelian dan pembatalan tiket dapat berbeda dari KA antar kota. Untuk pembatalan, KA lokal umumnya diproses di stasiun.</t>
  </si>
  <si>
    <t xml:space="preserve">lokal, aglomerasi, jarak pendek</t>
  </si>
  <si>
    <t xml:space="preserve">krl</t>
  </si>
  <si>
    <t xml:space="preserve">KRL Commuter Line</t>
  </si>
  <si>
    <t xml:space="preserve">Kereta rel listrik untuk perjalanan harian di wilayah perkotaan.</t>
  </si>
  <si>
    <t xml:space="preserve">KRL (Kereta Rel Listrik) Commuter Line melayani perjalanan harian di wilayah perkotaan seperti Jabodetabek dan Yogyakarta-Solo. Penumpang tidak memesan tiket per perjalanan, tetapi membayar saat masuk (tap in) dan keluar (tap out) stasiun.
Lihat juga: Cara naik KRL.</t>
  </si>
  <si>
    <t xml:space="preserve">krl, commuter, kai commuter</t>
  </si>
  <si>
    <t xml:space="preserve">relasi</t>
  </si>
  <si>
    <t xml:space="preserve">Relasi</t>
  </si>
  <si>
    <t xml:space="preserve">Rute perjalanan kereta api dari stasiun asal ke stasiun tujuan.</t>
  </si>
  <si>
    <t xml:space="preserve">Relasi menyebut rute perjalanan sebuah kereta api, misalnya Gambir - Surabaya Pasarturi.
Pada K-Pedia, relasi tarif khusus menunjukkan pasangan stasiun yang tercakup tarif khusus, lengkap dengan arah perjalanannya (searah atau pulang pergi).</t>
  </si>
  <si>
    <t xml:space="preserve">relasi, rute</t>
  </si>
  <si>
    <t xml:space="preserve">tarif-khusus</t>
  </si>
  <si>
    <t xml:space="preserve">Tarif khusus</t>
  </si>
  <si>
    <t xml:space="preserve">Tarif pada relasi atau kereta tertentu yang berbeda dari tarif normal.</t>
  </si>
  <si>
    <t xml:space="preserve">Tarif khusus adalah tarif pada relasi, kereta, dan kelas tertentu yang nilainya berbeda dari tarif normal. Besarnya mengikuti data tarif yang berlaku.
Gunakan menu Tarif Khusus di K-Pedia untuk mencarinya berdasarkan stasiun asal-tujuan atau nama kereta. Tarif dan relasi dapat berubah, jadi pastikan lagi ke sumber resmi.</t>
  </si>
  <si>
    <t xml:space="preserve">tarif khusus, tarsus, harga</t>
  </si>
  <si>
    <t xml:space="preserve">kode-booking</t>
  </si>
  <si>
    <t xml:space="preserve">Kode booking</t>
  </si>
  <si>
    <t xml:space="preserve">Kode unik pemesanan tiket yang dipakai untuk cek, ubah, atau batal.</t>
  </si>
  <si>
    <t xml:space="preserve">Kode booking dibuat saat pemesanan tiket berhasil. Kode ini dipakai untuk melihat detail pesanan, melakukan pembatalan, dan sebagai rujukan saat menghubungi layanan pelanggan.
Tiket yang dibeli lewat kanal lain dapat ditambahkan ke Access by KAI lewat menu Cek &amp; Tambah Tiket menggunakan kode booking.</t>
  </si>
  <si>
    <t xml:space="preserve">kode booking, pesanan, tiket</t>
  </si>
  <si>
    <t xml:space="preserve">boarding-pass</t>
  </si>
  <si>
    <t xml:space="preserve">Boarding pass</t>
  </si>
  <si>
    <t xml:space="preserve">Bukti sah untuk naik kereta api setelah tiket dipesan.</t>
  </si>
  <si>
    <t xml:space="preserve">Boarding pass adalah bukti yang diperlukan untuk naik kereta api. Penumpang KA antar kota perlu menyiapkan boarding pass (termasuk e-boarding pass) dan identitas yang sesuai dengan data pemesanan.
Tiket yang sudah dicetak sebagai boarding pass tidak dapat dibatalkan lewat aplikasi.</t>
  </si>
  <si>
    <t xml:space="preserve">boarding, e-boarding, tiket</t>
  </si>
  <si>
    <t xml:space="preserve">bea-pesan</t>
  </si>
  <si>
    <t xml:space="preserve">Bea tiket &amp; bea pesan</t>
  </si>
  <si>
    <t xml:space="preserve">Bea tiket adalah harga tiket, bea pesan adalah biaya layanan pemesanan.</t>
  </si>
  <si>
    <t xml:space="preserve">Bea tiket adalah harga perjalanan yang dibayar penumpang. Bea pesan adalah biaya layanan pemesanan yang terpisah dari bea tiket.
Dalam ketentuan pembatalan, potongan dihitung dari bea tiket dan tidak termasuk bea pesan.</t>
  </si>
  <si>
    <t xml:space="preserve">bea, biaya, harga tiket</t>
  </si>
  <si>
    <t xml:space="preserve">subkelas</t>
  </si>
  <si>
    <t xml:space="preserve">Subkelas</t>
  </si>
  <si>
    <t xml:space="preserve">Kode huruf dalam satu kelas yang dapat memengaruhi harga tiket.</t>
  </si>
  <si>
    <t xml:space="preserve">Dalam satu kelas layanan, tiket dapat dibagi lagi menjadi beberapa subkelas yang ditandai kode huruf. Subkelas dapat memengaruhi harga dan ketersediaan kursi.
Karena itu, harga pada satu kereta dan kelas yang sama bisa berbeda pada tanggal atau subkelas yang berbeda.</t>
  </si>
  <si>
    <t xml:space="preserve">subkelas, kelas, harga</t>
  </si>
  <si>
    <t xml:space="preserve">peron-jalur</t>
  </si>
  <si>
    <t xml:space="preserve">Peron &amp; jalur</t>
  </si>
  <si>
    <t xml:space="preserve">Peron adalah tempat naik-turun penumpang, jalur adalah rel tempat kereta berhenti.</t>
  </si>
  <si>
    <t xml:space="preserve">Peron adalah bagian stasiun tempat penumpang naik dan turun. Jalur adalah rel tempat kereta berhenti atau lewat, diberi nomor agar mudah dirujuk.
Satu peron dapat melayani lebih dari satu jalur.</t>
  </si>
  <si>
    <t xml:space="preserve">peron, jalur, stasiun</t>
  </si>
  <si>
    <t xml:space="preserve">emplasemen</t>
  </si>
  <si>
    <t xml:space="preserve">Emplasemen</t>
  </si>
  <si>
    <t xml:space="preserve">Seluruh area stasiun yang berisi jalur, peron, dan bangunan operasional.</t>
  </si>
  <si>
    <t xml:space="preserve">Emplasemen adalah area stasiun yang mencakup jalur rel, peron, bangunan, dan fasilitas operasional lainnya.
Istilah ini sering muncul pada deskripsi stasiun bersejarah, misalnya emplasemen yang masih utuh atau sudah beralih fungsi.</t>
  </si>
  <si>
    <t xml:space="preserve">emplasemen, stasiun</t>
  </si>
  <si>
    <t xml:space="preserve">ppka</t>
  </si>
  <si>
    <t xml:space="preserve">PPKA</t>
  </si>
  <si>
    <t xml:space="preserve">Pengatur Perjalanan Kereta Api, petugas yang mengatur keberangkatan dan kedatangan kereta di stasiun.</t>
  </si>
  <si>
    <t xml:space="preserve">PPKA (Pengatur Perjalanan Kereta Api) adalah petugas stasiun yang mengatur dan mengendalikan perjalanan kereta api di wilayah stasiunnya, termasuk izin berangkat dan masuk.</t>
  </si>
  <si>
    <t xml:space="preserve">ppka, petugas, keselamatan</t>
  </si>
  <si>
    <t xml:space="preserve">masinis</t>
  </si>
  <si>
    <t xml:space="preserve">Masinis &amp; asisten masinis</t>
  </si>
  <si>
    <t xml:space="preserve">Awak yang mengemudikan lokomotif atau rangkaian kereta.</t>
  </si>
  <si>
    <t xml:space="preserve">Masinis mengemudikan kereta api dan bertanggung jawab atas keselamatan perjalanan dari sisi pengemudian. Dalam pengoperasiannya, masinis dibantu asisten masinis.</t>
  </si>
  <si>
    <t xml:space="preserve">masinis, awak kereta</t>
  </si>
  <si>
    <t xml:space="preserve">kondektur</t>
  </si>
  <si>
    <t xml:space="preserve">Kondektur &amp; petugas KA</t>
  </si>
  <si>
    <t xml:space="preserve">Petugas di dalam kereta yang memeriksa tiket dan membantu penumpang.</t>
  </si>
  <si>
    <t xml:space="preserve">Kondektur memeriksa tiket dan membantu penumpang selama perjalanan. Pada KA antar kota, ada pula petugas pengamanan di dalam kereta.</t>
  </si>
  <si>
    <t xml:space="preserve">kondektur, petugas, tiket</t>
  </si>
  <si>
    <t xml:space="preserve">stamformasi</t>
  </si>
  <si>
    <t xml:space="preserve">Stamformasi</t>
  </si>
  <si>
    <t xml:space="preserve">Susunan atau komposisi rangkaian kereta dalam satu perjalanan.</t>
  </si>
  <si>
    <t xml:space="preserve">Stamformasi adalah susunan rangkaian dalam satu perjalanan, yaitu urutan lokomotif dan kereta (eksekutif, bisnis, ekonomi, restorasi, pembangkit, dan lain-lain).
Stamformasi dapat berubah mengikuti kebutuhan operasional.</t>
  </si>
  <si>
    <t xml:space="preserve">stamformasi, rangkaian, komposisi</t>
  </si>
  <si>
    <t xml:space="preserve">langsir</t>
  </si>
  <si>
    <t xml:space="preserve">Langsir</t>
  </si>
  <si>
    <t xml:space="preserve">Pergerakan lokomotif atau kereta di stasiun untuk menyusun atau memindahkan rangkaian.</t>
  </si>
  <si>
    <t xml:space="preserve">Langsir adalah pergerakan lokomotif atau kereta di area stasiun untuk menyusun, memisahkan, atau memindahkan rangkaian. Kegiatan ini bukan perjalanan penumpang.</t>
  </si>
  <si>
    <t xml:space="preserve">langsir, operasional</t>
  </si>
  <si>
    <t xml:space="preserve">semboyan</t>
  </si>
  <si>
    <t xml:space="preserve">Semboyan</t>
  </si>
  <si>
    <t xml:space="preserve">Isyarat (sinyal, bendera, peluit) untuk keselamatan perjalanan kereta api.</t>
  </si>
  <si>
    <t xml:space="preserve">Semboyan adalah isyarat yang dipakai untuk mengatur keselamatan perjalanan kereta api, misalnya sinyal, bendera, atau bunyi peluit, dan dipahami oleh petugas operasional.</t>
  </si>
  <si>
    <t xml:space="preserve">semboyan, sinyal, keselamatan</t>
  </si>
  <si>
    <t xml:space="preserve">jalur-ganda</t>
  </si>
  <si>
    <t xml:space="preserve">Jalur tunggal &amp; jalur ganda</t>
  </si>
  <si>
    <t xml:space="preserve">Jumlah rel pada satu lintas: satu jalur untuk dua arah, atau dua jalur terpisah.</t>
  </si>
  <si>
    <t xml:space="preserve">Pada jalur tunggal, kereta dari dua arah memakai satu jalur sehingga perlu bersilang di stasiun. Pada jalur ganda, setiap arah punya jalurnya sendiri sehingga kapasitas lebih besar.</t>
  </si>
  <si>
    <t xml:space="preserve">jalur tunggal, jalur ganda, lintas</t>
  </si>
  <si>
    <t xml:space="preserve">kelas-eksekutif</t>
  </si>
  <si>
    <t xml:space="preserve">Kelas Eksekutif</t>
  </si>
  <si>
    <t xml:space="preserve">Kelas dengan kenyamanan lebih tinggi untuk KA antar kota.</t>
  </si>
  <si>
    <t xml:space="preserve">Kelas Eksekutif umumnya dilengkapi AC dan kursi yang dapat disetel sandarannya, dengan ruang kaki lebih lapang dibanding ekonomi. Fasilitas rinci dapat berbeda antar rangkaian.</t>
  </si>
  <si>
    <t xml:space="preserve">eksekutif, kelas</t>
  </si>
  <si>
    <t xml:space="preserve">kelas-bisnis</t>
  </si>
  <si>
    <t xml:space="preserve">Kelas Bisnis</t>
  </si>
  <si>
    <t xml:space="preserve">Kelas menengah. Muncul sebagai kolom Bisnis pada data tarif khusus bila tersedia.</t>
  </si>
  <si>
    <t xml:space="preserve">Kelas Bisnis berada di antara Eksekutif dan Ekonomi. Pada hasil pencarian tarif khusus di K-Pedia, harga Bisnis ditampilkan hanya jika tercatat pada data.</t>
  </si>
  <si>
    <t xml:space="preserve">bisnis, kelas</t>
  </si>
  <si>
    <t xml:space="preserve">kelas-ekonomi</t>
  </si>
  <si>
    <t xml:space="preserve">Kelas Ekonomi</t>
  </si>
  <si>
    <t xml:space="preserve">Kelas dasar dengan tarif paling terjangkau.</t>
  </si>
  <si>
    <t xml:space="preserve">Kelas Ekonomi adalah kelas dasar dengan tarif paling terjangkau. Tata kursi dan fasilitas berbeda antar rangkaian, dan generasi rangkaian yang lebih baru umumnya lebih nyaman.</t>
  </si>
  <si>
    <t xml:space="preserve">ekonomi, kelas</t>
  </si>
  <si>
    <t xml:space="preserve">ekonomi-premium</t>
  </si>
  <si>
    <t xml:space="preserve">Ekonomi Premium</t>
  </si>
  <si>
    <t xml:space="preserve">Varian ekonomi dengan kenyamanan di atas ekonomi reguler.</t>
  </si>
  <si>
    <t xml:space="preserve">Ekonomi Premium adalah varian kelas ekonomi dengan tata kursi dan kenyamanan yang lebih baik dibanding ekonomi reguler. Ketersediaannya bergantung pada kereta dan rangkaian yang dipakai.</t>
  </si>
  <si>
    <t xml:space="preserve">ekonomi premium, kelas</t>
  </si>
  <si>
    <t xml:space="preserve">luxury</t>
  </si>
  <si>
    <t xml:space="preserve">Kelas Luxury</t>
  </si>
  <si>
    <t xml:space="preserve">Kelas premium dengan kursi lebih lega dan fasilitas lebih lengkap.</t>
  </si>
  <si>
    <t xml:space="preserve">Kelas Luxury adalah kelas premium pada KA antar kota tertentu, dengan kursi yang lebih lega dan fasilitas lebih lengkap dibanding Eksekutif reguler.</t>
  </si>
  <si>
    <t xml:space="preserve">luxury, premium, kelas</t>
  </si>
  <si>
    <t xml:space="preserve">panoramic</t>
  </si>
  <si>
    <t xml:space="preserve">Kereta Panoramic</t>
  </si>
  <si>
    <t xml:space="preserve">Kereta dengan jendela lebar untuk menikmati pemandangan.</t>
  </si>
  <si>
    <t xml:space="preserve">Kereta Panoramic dirancang dengan jendela lebar agar penumpang lebih leluasa menikmati pemandangan sepanjang lintas. Kereta ini dioperasikan pada KA tertentu.</t>
  </si>
  <si>
    <t xml:space="preserve">panoramic, wisata</t>
  </si>
  <si>
    <t xml:space="preserve">kereta-pembangkit</t>
  </si>
  <si>
    <t xml:space="preserve">Kereta Pembangkit</t>
  </si>
  <si>
    <t xml:space="preserve">Kereta yang menyediakan listrik untuk AC dan penerangan rangkaian.</t>
  </si>
  <si>
    <t xml:space="preserve">Kereta Pembangkit (P) membawa generator yang memasok listrik untuk AC dan penerangan seluruh rangkaian. Ada pula Kereta Makan Pembangkit (KMP) yang menggabungkan fungsi restorasi dan pembangkit.</t>
  </si>
  <si>
    <t xml:space="preserve">pembangkit, kmp, restorasi</t>
  </si>
  <si>
    <t xml:space="preserve">lokomotif</t>
  </si>
  <si>
    <t xml:space="preserve">Lokomotif (seri CC dan BB)</t>
  </si>
  <si>
    <t xml:space="preserve">Kode seri menunjukkan konfigurasi roda lokomotif diesel-elektrik.</t>
  </si>
  <si>
    <t xml:space="preserve">Lokomotif menarik rangkaian kereta penumpang dan barang. Di Indonesia, kode huruf menunjukkan susunan gandar: BB berarti dua bogie dengan dua gandar, CC berarti dua bogie dengan tiga gandar.
Seri yang umum ditemui pada KA penumpang antara lain CC 201, CC 203, CC 204, dan CC 206.</t>
  </si>
  <si>
    <t xml:space="preserve">lokomotif, cc 201, cc 206, bb</t>
  </si>
  <si>
    <t xml:space="preserve">krl-seri</t>
  </si>
  <si>
    <t xml:space="preserve">Rangkaian KRL</t>
  </si>
  <si>
    <t xml:space="preserve">Armada KRL terdiri dari beragam seri, banyak di antaranya berasal dari Jepang.</t>
  </si>
  <si>
    <t xml:space="preserve">Armada KRL Commuter Line terdiri dari beberapa seri rangkaian. Sebagian besar didatangkan dari Jepang, misalnya seri JR 205, JR 203, Tokyo Metro 6000 dan 7000, serta Tokyu 8000 dan 8500. Ada juga rangkaian buatan dalam negeri.
Daftar dan komposisi armada dapat berubah mengikuti pengadaan dan pensiun rangkaian.</t>
  </si>
  <si>
    <t xml:space="preserve">krl, seri, rangkaian, jr 205</t>
  </si>
  <si>
    <t xml:space="preserve">ka-bandara</t>
  </si>
  <si>
    <t xml:space="preserve">KA Bandara</t>
  </si>
  <si>
    <t xml:space="preserve">Layanan kereta yang menghubungkan kota dengan stasiun bandara.</t>
  </si>
  <si>
    <t xml:space="preserve">KA Bandara menghubungkan pusat kota dengan stasiun yang terintegrasi bandara, antara lain Bandara Kualanamu (Medan), Bandara Internasional Yogyakarta (YIA), dan Bandara Soekarno-Hatta.
Pemesanan umumnya lewat Access by KAI atau kanal resmi terkait.</t>
  </si>
  <si>
    <t xml:space="preserve">bandara, yia, kualanamu, soekarno-hatta</t>
  </si>
  <si>
    <t xml:space="preserve">whoosh</t>
  </si>
  <si>
    <t xml:space="preserve">Whoosh (Kereta Cepat)</t>
  </si>
  <si>
    <t xml:space="preserve">Kereta cepat Jakarta - Bandung yang dioperasikan PT KCIC.</t>
  </si>
  <si>
    <t xml:space="preserve">Whoosh adalah kereta cepat Jakarta - Bandung yang dioperasikan PT Kereta Cepat Indonesia China (KCIC). Stasiunnya: Halim, Karawang, Padalarang, dan Tegalluar.
Dari Padalarang tersedia KA Feeder menuju Stasiun Bandung. Whoosh berbeda dari KA reguler KAI, jadi tiketnya juga dibeli lewat kanal resmi Whoosh.</t>
  </si>
  <si>
    <t xml:space="preserve">whoosh, kereta cepat, kcic, halim, tegalluar</t>
  </si>
  <si>
    <t xml:space="preserve">Informasi umum. Perlu verifikasi ke kanal resmi KCIC.</t>
  </si>
  <si>
    <t xml:space="preserve">lrt-jabodebek</t>
  </si>
  <si>
    <t xml:space="preserve">LRT Jabodebek</t>
  </si>
  <si>
    <t xml:space="preserve">Kereta ringan (light rail) yang melayani Jakarta, Bogor, Depok, dan Bekasi.</t>
  </si>
  <si>
    <t xml:space="preserve">LRT Jabodebek adalah layanan kereta ringan (light rail transit) di wilayah Jakarta, Bogor, Depok, dan Bekasi. Layanan ini dapat terhubung dengan stasiun KRL dan Whoosh Halim.</t>
  </si>
  <si>
    <t xml:space="preserve">lrt, jabodebek</t>
  </si>
  <si>
    <t xml:space="preserve">pesan-antarkota</t>
  </si>
  <si>
    <t xml:space="preserve">Pesan tiket KA antar kota</t>
  </si>
  <si>
    <t xml:space="preserve">Pesan lewat Access by KAI atau loket stasiun, dengan identitas penumpang yang sesuai.</t>
  </si>
  <si>
    <t xml:space="preserve">Cara paling mudah adalah lewat aplikasi Access by KAI. Tiket juga dapat dibeli di loket stasiun atau mitra resmi.
1. Unduh Access by KAI di Android atau iOS, lalu masuk atau daftar.
2. Pilih layanan kereta api antar kota.
3. Isi stasiun asal, stasiun tujuan, tanggal berangkat, dan jumlah penumpang, lalu cari.
4. Pilih kereta dan kelas yang tersedia.
5. Isi data penumpang sesuai identitas yang akan dibawa saat naik.
6. Pilih metode pembayaran dan bayar sebelum batas waktu.
7. Simpan kode booking, lalu ikuti petunjuk boarding pada hari keberangkatan.
Pastikan nomor identitas penumpang benar. Data yang tidak sesuai dapat menghambat boarding dan pembatalan.</t>
  </si>
  <si>
    <t xml:space="preserve">pesan, beli tiket, access by kai, antar kota</t>
  </si>
  <si>
    <t xml:space="preserve">Access by KAI. Ketentuan dan nama menu dapat berubah. Perlu verifikasi.</t>
  </si>
  <si>
    <t xml:space="preserve">pesan-lokal</t>
  </si>
  <si>
    <t xml:space="preserve">Pesan tiket KA lokal</t>
  </si>
  <si>
    <t xml:space="preserve">Umumnya dibeli di loket stasiun, atau di aplikasi bila tersedia untuk kereta tersebut.</t>
  </si>
  <si>
    <t xml:space="preserve">Tiket KA lokal umumnya dibeli di loket stasiun keberangkatan. Beberapa KA lokal juga dapat dipesan lewat Access by KAI.
1. Cek jadwal dan relasi KA lokal tujuanmu.
2. Beli di loket stasiun atau lewat aplikasi bila tersedia.
3. Siapkan identitas bila diminta petugas.
4. Simpan tiket sampai tiba di tujuan.
Ketentuan dapat berbeda antar KA lokal, jadi tanyakan ke petugas stasiun bila ragu.</t>
  </si>
  <si>
    <t xml:space="preserve">lokal, loket, beli tiket</t>
  </si>
  <si>
    <t xml:space="preserve">Informasi umum. Perlu verifikasi per KA lokal.</t>
  </si>
  <si>
    <t xml:space="preserve">pesan-krl</t>
  </si>
  <si>
    <t xml:space="preserve">Cara naik KRL</t>
  </si>
  <si>
    <t xml:space="preserve">Bayar dengan kartu atau QRIS Tap, tap in saat masuk dan tap out saat keluar.</t>
  </si>
  <si>
    <t xml:space="preserve">KRL tidak memakai tiket per perjalanan. Saldo terpotong otomatis berdasarkan jarak perjalanan.
1. Siapkan metode bayar: Kartu Multi Trip (KMT), kartu uang elektronik bank, atau QRIS Tap lewat aplikasi pembayaran yang mendukung.
2. Pastikan saldo cukup.
3. Tap in di gerbang saat masuk stasiun.
4. Naik KRL sesuai jalur dan arah.
5. Tap out di gerbang stasiun tujuan.
Jika lupa tap out, saldo dapat terpotong lebih besar atau menyulitkan perjalanan berikutnya.
Tarif Jabodetabek: Rp3.000 untuk 25 km pertama, lalu Rp1.000 untuk setiap 10 km berikutnya. KRL Yogyakarta - Solo memakai tarif flat.</t>
  </si>
  <si>
    <t xml:space="preserve">krl, tap in, tap out, qris tap, kmt, tarif krl</t>
  </si>
  <si>
    <t xml:space="preserve">Bisnis.com (6 Jan 2026), Kompas TV (Okt 2025), Goodnewsfromindonesia (Jan 2026). Tarif dapat berubah.</t>
  </si>
  <si>
    <t xml:space="preserve">cek-ketersediaan</t>
  </si>
  <si>
    <t xml:space="preserve">Cek ketersediaan tiket</t>
  </si>
  <si>
    <t xml:space="preserve">Cek kursi dan harga terbaru di Access by KAI sebelum menyampaikan ke pelanggan.</t>
  </si>
  <si>
    <t xml:space="preserve">Tarif khusus tidak menjamin kursi tersedia. Untuk memastikan ketersediaan kursi dan harga terbaru, cek langsung di Access by KAI dengan memasukkan stasiun, tanggal, dan jumlah penumpang.
Setelah itu pelanggan bisa langsung melanjutkan pemesanan.</t>
  </si>
  <si>
    <t xml:space="preserve">ketersediaan, kursi, cek tiket</t>
  </si>
  <si>
    <t xml:space="preserve">Access by KAI.</t>
  </si>
  <si>
    <t xml:space="preserve">batal-antarkota</t>
  </si>
  <si>
    <t xml:space="preserve">Batalkan tiket KA antar kota</t>
  </si>
  <si>
    <t xml:space="preserve">Bea pembatalan 25% dari harga tiket di luar bea pesan. Batas waktu: 2 jam (aplikasi) dan 30 menit (loket).</t>
  </si>
  <si>
    <t xml:space="preserve">Pembatalan atas keinginan penumpang dikenai bea 25% dari harga tiket, di luar bea pesan.
Syarat utama:
- Tiket sudah lunas dan belum dicetak sebagai boarding pass atau e-boarding pass.
- Identitas akun atau penumpang dalam satu kode booking sesuai dengan data tiket.
- Lewat aplikasi: paling lambat 2 jam sebelum keberangkatan.
- Di loket stasiun: paling lambat 30 menit sebelum keberangkatan.
Langkah lewat Access by KAI:
1. Buka menu Tiket Saya, lalu pilih tiket yang akan dibatalkan.
2. Buka Kelola Pesanan Anda, lalu pilih Pembatalan.
3. Pilih penumpang, baca dan centang syarat, lalu lanjutkan.
Tiket dari kanal eksternal ditambahkan dulu lewat menu Cek &amp; Tambah Tiket dengan kode booking.</t>
  </si>
  <si>
    <t xml:space="preserve">batal, refund, pembatalan, antar kota, bea pembatalan</t>
  </si>
  <si>
    <t xml:space="preserve">Kontan Mom's Money (25 Agu 2025), Fortune IDN (Jul 2026), keduanya mengutip KAI. Ketentuan dapat berubah.</t>
  </si>
  <si>
    <t xml:space="preserve">batal-lokal</t>
  </si>
  <si>
    <t xml:space="preserve">Batalkan tiket KA lokal</t>
  </si>
  <si>
    <t xml:space="preserve">Pembatalan KA lokal dilakukan di stasiun.</t>
  </si>
  <si>
    <t xml:space="preserve">Untuk KA lokal, pembatalan dilakukan di stasiun, tidak lewat aplikasi.
1. Datang ke loket stasiun yang melayani pembatalan.
2. Bawa tiket, kode booking, dan identitas.
3. Isi formulir pembatalan bila diminta petugas.
Tanyakan ke petugas mengenai batas waktu dan besaran bea untuk KA lokal yang kamu pakai.</t>
  </si>
  <si>
    <t xml:space="preserve">batal, lokal, loket</t>
  </si>
  <si>
    <t xml:space="preserve">Kontan Mom's Money (25 Agu 2025). Perlu verifikasi per KA lokal.</t>
  </si>
  <si>
    <t xml:space="preserve">batal-krl</t>
  </si>
  <si>
    <t xml:space="preserve">Pembatalan untuk KRL</t>
  </si>
  <si>
    <t xml:space="preserve">KRL tidak memiliki tiket per perjalanan, jadi tidak ada pembatalan seperti KA antar kota.</t>
  </si>
  <si>
    <t xml:space="preserve">KRL memakai sistem bayar saat tap in dan tap out, sehingga tidak ada tiket per perjalanan yang dibatalkan.
Jika ada kendala transaksi, misalnya saldo terpotong tidak sesuai atau kartu bermasalah, sampaikan ke petugas di stasiun atau layanan pelanggan KAI Commuter dengan membawa kartu dan bukti transaksi.</t>
  </si>
  <si>
    <t xml:space="preserve">krl, saldo, kendala, kartu</t>
  </si>
  <si>
    <t xml:space="preserve">Informasi umum. Perlu verifikasi ke KAI Commuter.</t>
  </si>
  <si>
    <t xml:space="preserve">batal-oleh-kai</t>
  </si>
  <si>
    <t xml:space="preserve">Jika KAI membatalkan perjalanan</t>
  </si>
  <si>
    <t xml:space="preserve">Penumpang berhak atas pengembalian bea tiket 100%, di luar bea pesan.</t>
  </si>
  <si>
    <t xml:space="preserve">Jika perjalanan dibatalkan oleh KAI, misalnya karena gangguan operasional atau bencana, penumpang yang terdampak berhak atas pengembalian bea tiket 100% di luar bea pesan.
Pengajuan dapat lewat Access by KAI, loket stasiun, atau Contact Center 121. Batas waktu pengajuan diumumkan KAI pada setiap kejadian. Pada pengumuman 2026, batasnya 7x24 jam sejak tanggal keberangkatan yang tertera di tiket.</t>
  </si>
  <si>
    <t xml:space="preserve">refund 100, pembatalan kai, gangguan</t>
  </si>
  <si>
    <t xml:space="preserve">Bisnis.com (19 Jan 2026), Kontan (28 Apr 2026). Batas waktu mengikuti pengumuman setiap kejadian.</t>
  </si>
  <si>
    <t xml:space="preserve">kontak-kai</t>
  </si>
  <si>
    <t xml:space="preserve">Kontak KAI</t>
  </si>
  <si>
    <t xml:space="preserve">Call Center 121, WhatsApp, email, dan Pusat Bantuan di Access by KAI.</t>
  </si>
  <si>
    <t xml:space="preserve">Kanal bantuan pelanggan KAI:
- Call Center 121 (dari ponsel atau telepon)
- WhatsApp 0811-2223-3121
- Email cs@kai.id
- Pusat Bantuan di aplikasi Access by KAI
- Media sosial resmi KAI
Nomor dan kanal dapat berubah, jadi cek juga di aplikasi atau situs resmi.</t>
  </si>
  <si>
    <t xml:space="preserve">kontak, 121, whatsapp, bantuan, call center</t>
  </si>
  <si>
    <t xml:space="preserve">Bisnis.com (19 Jan 2026). Verifikasi nomor sebelum dipublikasikan.</t>
  </si>
  <si>
    <t xml:space="preserve">access-by-kai</t>
  </si>
  <si>
    <t xml:space="preserve">Access by KAI</t>
  </si>
  <si>
    <t xml:space="preserve">Aplikasi resmi KAI untuk memesan, mengelola, dan membatalkan tiket.</t>
  </si>
  <si>
    <t xml:space="preserve">Access by KAI adalah aplikasi resmi KAI untuk memesan tiket KA, melihat tiket di menu Tiket Saya, menambahkan tiket dari kanal lain lewat Cek &amp; Tambah Tiket, membatalkan tiket, dan menghubungi Pusat Bantuan.
Tersedia untuk Android dan iOS.</t>
  </si>
  <si>
    <t xml:space="preserve">access by kai, aplikasi, kai access</t>
  </si>
  <si>
    <t xml:space="preserve">Kontan Mom's Money (25 Agu 2025), Bisnis.com (19 Jan 2026).</t>
  </si>
  <si>
    <t xml:space="preserve">ka-pertama</t>
  </si>
  <si>
    <t xml:space="preserve">Jalur kereta api pertama di Indonesia</t>
  </si>
  <si>
    <t xml:space="preserve">Dibuka tahun 1867 antara Semarang dan Tanggung.</t>
  </si>
  <si>
    <t xml:space="preserve">Jalur kereta api pertama di Indonesia dibuka pada tahun 1867, menghubungkan Semarang dan Tanggung di Kabupaten Demak. Jalur ini dibangun oleh perusahaan swasta Belanda, Nederlandsch-Indische Spoorweg Maatschappij (NIS).</t>
  </si>
  <si>
    <t xml:space="preserve">sejarah, 1867, semarang, tanggung, nis</t>
  </si>
  <si>
    <t xml:space="preserve">Sejarah perkeretaapian Indonesia. Perlu verifikasi.</t>
  </si>
  <si>
    <t xml:space="preserve">hari-ka</t>
  </si>
  <si>
    <t xml:space="preserve">Hari Kereta Api Nasional</t>
  </si>
  <si>
    <t xml:space="preserve">Diperingati setiap 28 September.</t>
  </si>
  <si>
    <t xml:space="preserve">Hari Kereta Api Nasional diperingati setiap 28 September, mengacu pada peristiwa pengambilalihan kekuasaan perkeretaapian dari pihak Jepang pada 28 September 1945.</t>
  </si>
  <si>
    <t xml:space="preserve">sejarah, 28 september, hari ka</t>
  </si>
  <si>
    <t xml:space="preserve">lintas-jawa</t>
  </si>
  <si>
    <t xml:space="preserve">Lintas utara dan lintas selatan Jawa</t>
  </si>
  <si>
    <t xml:space="preserve">Dua koridor utama kereta api di Pulau Jawa.</t>
  </si>
  <si>
    <t xml:space="preserve">Lintas utara (Pantura) menghubungkan Jakarta, Cirebon, Semarang, dan Surabaya. Lintas selatan menghubungkan Bandung, Banjar, Kroya, Yogyakarta, Solo, Madiun, dan Surabaya.
Kedua lintas ini menjadi jalur utama KA antar kota di Jawa.</t>
  </si>
  <si>
    <t xml:space="preserve">lintas utara, lintas selatan, pantura, jawa</t>
  </si>
  <si>
    <t xml:space="preserve">Informasi umum perkeretaapian Jawa. Perlu verifikasi.</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</si>
</sst>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73567"/>
      <name val="Arial"/>
      <family val="0"/>
      <charset val="1"/>
    </font>
    <font>
      <sz val="10"/>
      <name val="Arial"/>
      <family val="0"/>
      <charset val="1"/>
    </font>
    <font>
      <b val="true"/>
      <sz val="11"/>
      <color rgb="FF073567"/>
      <name val="Arial"/>
      <family val="0"/>
      <charset val="1"/>
    </font>
    <font>
      <b val="true"/>
      <sz val="10"/>
      <color rgb="FFFFFFFF"/>
      <name val="Arial"/>
      <family val="0"/>
      <charset val="1"/>
    </font>
    <font>
      <b val="true"/>
      <sz val="10"/>
      <name val="Arial"/>
      <family val="0"/>
      <charset val="1"/>
    </font>
    <font>
      <sz val="10"/>
      <color rgb="FF0000FF"/>
      <name val="Arial"/>
      <family val="0"/>
      <charset val="1"/>
    </font>
  </fonts>
  <fills count="3">
    <fill>
      <patternFill patternType="none"/>
    </fill>
    <fill>
      <patternFill patternType="gray125"/>
    </fill>
    <fill>
      <patternFill patternType="solid">
        <fgColor rgb="FF073567"/>
        <bgColor rgb="FF333399"/>
      </patternFill>
    </fill>
  </fills>
  <borders count="2">
    <border diagonalUp="false" diagonalDown="false">
      <left/>
      <right/>
      <top/>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3567"/>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567"/>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4" t="s">
        <v>1</v>
      </c>
      <c r="B3" s="2"/>
    </row>
    <row r="4" customFormat="false" ht="15" hidden="false" customHeight="false" outlineLevel="0" collapsed="false">
      <c r="A4" s="3" t="s">
        <v>2</v>
      </c>
      <c r="B4" s="5" t="s">
        <v>3</v>
      </c>
    </row>
    <row r="5" customFormat="false" ht="15" hidden="false" customHeight="false" outlineLevel="0" collapsed="false">
      <c r="A5" s="3" t="s">
        <v>4</v>
      </c>
      <c r="B5" s="5" t="s">
        <v>5</v>
      </c>
    </row>
    <row r="6" customFormat="false" ht="15" hidden="false" customHeight="false" outlineLevel="0" collapsed="false">
      <c r="A6" s="3" t="s">
        <v>6</v>
      </c>
      <c r="B6" s="5" t="s">
        <v>7</v>
      </c>
    </row>
    <row r="7" customFormat="false" ht="15" hidden="false" customHeight="false" outlineLevel="0" collapsed="false">
      <c r="A7" s="3" t="s">
        <v>8</v>
      </c>
      <c r="B7" s="5" t="s">
        <v>9</v>
      </c>
    </row>
    <row r="8" customFormat="false" ht="15" hidden="false" customHeight="false" outlineLevel="0" collapsed="false">
      <c r="A8" s="3" t="s">
        <v>10</v>
      </c>
      <c r="B8" s="5" t="s">
        <v>11</v>
      </c>
    </row>
    <row r="9" customFormat="false" ht="15" hidden="false" customHeight="false" outlineLevel="0" collapsed="false">
      <c r="A9" s="3" t="s">
        <v>12</v>
      </c>
      <c r="B9" s="5" t="s">
        <v>13</v>
      </c>
    </row>
    <row r="10" customFormat="false" ht="15" hidden="false" customHeight="false" outlineLevel="0" collapsed="false">
      <c r="A10" s="3"/>
      <c r="B10" s="2"/>
    </row>
    <row r="11" customFormat="false" ht="15" hidden="false" customHeight="false" outlineLevel="0" collapsed="false">
      <c r="A11" s="4" t="s">
        <v>14</v>
      </c>
      <c r="B11" s="2"/>
    </row>
    <row r="12" customFormat="false" ht="15" hidden="false" customHeight="false" outlineLevel="0" collapsed="false">
      <c r="A12" s="3" t="s">
        <v>15</v>
      </c>
      <c r="B12" s="5" t="s">
        <v>16</v>
      </c>
    </row>
    <row r="13" customFormat="false" ht="15" hidden="false" customHeight="false" outlineLevel="0" collapsed="false">
      <c r="A13" s="3" t="s">
        <v>17</v>
      </c>
      <c r="B13" s="5" t="s">
        <v>18</v>
      </c>
    </row>
    <row r="14" customFormat="false" ht="15" hidden="false" customHeight="false" outlineLevel="0" collapsed="false">
      <c r="A14" s="3" t="s">
        <v>19</v>
      </c>
      <c r="B14" s="5" t="s">
        <v>20</v>
      </c>
    </row>
    <row r="15" customFormat="false" ht="15" hidden="false" customHeight="false" outlineLevel="0" collapsed="false">
      <c r="A15" s="3" t="s">
        <v>21</v>
      </c>
      <c r="B15" s="5" t="s">
        <v>22</v>
      </c>
    </row>
    <row r="16" customFormat="false" ht="15" hidden="false" customHeight="false" outlineLevel="0" collapsed="false">
      <c r="A16" s="3" t="s">
        <v>23</v>
      </c>
      <c r="B16" s="5" t="s">
        <v>24</v>
      </c>
    </row>
    <row r="17" customFormat="false" ht="15" hidden="false" customHeight="false" outlineLevel="0" collapsed="false">
      <c r="A17" s="3"/>
      <c r="B17" s="2"/>
    </row>
    <row r="18" customFormat="false" ht="15" hidden="false" customHeight="false" outlineLevel="0" collapsed="false">
      <c r="A18" s="4" t="s">
        <v>25</v>
      </c>
      <c r="B18" s="2"/>
    </row>
    <row r="19" customFormat="false" ht="23.85" hidden="false" customHeight="false" outlineLevel="0" collapsed="false">
      <c r="A19" s="3"/>
      <c r="B19" s="5" t="s">
        <v>26</v>
      </c>
    </row>
    <row r="20" customFormat="false" ht="15" hidden="false" customHeight="false" outlineLevel="0" collapsed="false">
      <c r="A20" s="4"/>
      <c r="B20" s="2"/>
    </row>
    <row r="21" customFormat="false" ht="15" hidden="false" customHeight="false" outlineLevel="0" collapsed="false">
      <c r="A21" s="3" t="s">
        <v>27</v>
      </c>
      <c r="B21" s="2"/>
    </row>
    <row r="22" customFormat="false" ht="15" hidden="false" customHeight="false" outlineLevel="0" collapsed="false">
      <c r="A22" s="6" t="s">
        <v>28</v>
      </c>
      <c r="B22" s="6" t="s">
        <v>29</v>
      </c>
    </row>
    <row r="23" customFormat="false" ht="15" hidden="false" customHeight="false" outlineLevel="0" collapsed="false">
      <c r="A23" s="7" t="str">
        <f aca="false">INDEX(WIKI_KATEGORI!$B$2:$B$50,MATCH("istilah",WIKI_KATEGORI!$A$2:$A$50,0))</f>
        <v>Istilah KAI</v>
      </c>
      <c r="B23" s="7" t="n">
        <f aca="false">COUNTIFS(WIKI!$B$2:$B$1000,"istilah",WIKI!$I$2:$I$1000,"Ya")</f>
        <v>20</v>
      </c>
    </row>
    <row r="24" customFormat="false" ht="15" hidden="false" customHeight="false" outlineLevel="0" collapsed="false">
      <c r="A24" s="7" t="str">
        <f aca="false">INDEX(WIKI_KATEGORI!$B$2:$B$50,MATCH("rangkaian",WIKI_KATEGORI!$A$2:$A$50,0))</f>
        <v>Jenis rangkaian</v>
      </c>
      <c r="B24" s="7" t="n">
        <f aca="false">COUNTIFS(WIKI!$B$2:$B$1000,"rangkaian",WIKI!$I$2:$I$1000,"Ya")</f>
        <v>12</v>
      </c>
    </row>
    <row r="25" customFormat="false" ht="15" hidden="false" customHeight="false" outlineLevel="0" collapsed="false">
      <c r="A25" s="7" t="str">
        <f aca="false">INDEX(WIKI_KATEGORI!$B$2:$B$50,MATCH("pemesanan",WIKI_KATEGORI!$A$2:$A$50,0))</f>
        <v>Cara pemesanan tiket</v>
      </c>
      <c r="B25" s="7" t="n">
        <f aca="false">COUNTIFS(WIKI!$B$2:$B$1000,"pemesanan",WIKI!$I$2:$I$1000,"Ya")</f>
        <v>4</v>
      </c>
    </row>
    <row r="26" customFormat="false" ht="15" hidden="false" customHeight="false" outlineLevel="0" collapsed="false">
      <c r="A26" s="7" t="str">
        <f aca="false">INDEX(WIKI_KATEGORI!$B$2:$B$50,MATCH("pembatalan",WIKI_KATEGORI!$A$2:$A$50,0))</f>
        <v>Pembatalan tiket</v>
      </c>
      <c r="B26" s="7" t="n">
        <f aca="false">COUNTIFS(WIKI!$B$2:$B$1000,"pembatalan",WIKI!$I$2:$I$1000,"Ya")</f>
        <v>4</v>
      </c>
    </row>
    <row r="27" customFormat="false" ht="15" hidden="false" customHeight="false" outlineLevel="0" collapsed="false">
      <c r="A27" s="7" t="str">
        <f aca="false">INDEX(WIKI_KATEGORI!$B$2:$B$50,MATCH("layanan",WIKI_KATEGORI!$A$2:$A$50,0))</f>
        <v>Layanan &amp; bantuan</v>
      </c>
      <c r="B27" s="7" t="n">
        <f aca="false">COUNTIFS(WIKI!$B$2:$B$1000,"layanan",WIKI!$I$2:$I$1000,"Ya")</f>
        <v>2</v>
      </c>
    </row>
    <row r="28" customFormat="false" ht="15" hidden="false" customHeight="false" outlineLevel="0" collapsed="false">
      <c r="A28" s="7" t="str">
        <f aca="false">INDEX(WIKI_KATEGORI!$B$2:$B$50,MATCH("umum",WIKI_KATEGORI!$A$2:$A$50,0))</f>
        <v>Seputar kereta api</v>
      </c>
      <c r="B28" s="7" t="n">
        <f aca="false">COUNTIFS(WIKI!$B$2:$B$1000,"umum",WIKI!$I$2:$I$1000,"Ya")</f>
        <v>3</v>
      </c>
    </row>
    <row r="29" customFormat="false" ht="15" hidden="false" customHeight="false" outlineLevel="0" collapsed="false">
      <c r="A29" s="8" t="s">
        <v>30</v>
      </c>
      <c r="B29" s="8" t="n">
        <f aca="false">SUM(B23:B28)</f>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70"/>
    <col collapsed="false" customWidth="true" hidden="false" outlineLevel="0" max="4" min="4" style="0" width="12"/>
    <col collapsed="false" customWidth="true" hidden="false" outlineLevel="0" max="5" min="5" style="0" width="10"/>
  </cols>
  <sheetData>
    <row r="1" customFormat="false" ht="15" hidden="false" customHeight="false" outlineLevel="0" collapsed="false">
      <c r="A1" s="9" t="s">
        <v>31</v>
      </c>
      <c r="B1" s="9" t="s">
        <v>32</v>
      </c>
      <c r="C1" s="9" t="s">
        <v>33</v>
      </c>
      <c r="D1" s="9" t="s">
        <v>34</v>
      </c>
      <c r="E1" s="9" t="s">
        <v>35</v>
      </c>
    </row>
    <row r="2" customFormat="false" ht="15" hidden="false" customHeight="false" outlineLevel="0" collapsed="false">
      <c r="A2" s="10" t="s">
        <v>36</v>
      </c>
      <c r="B2" s="10" t="s">
        <v>37</v>
      </c>
      <c r="C2" s="10" t="s">
        <v>38</v>
      </c>
      <c r="D2" s="10" t="s">
        <v>39</v>
      </c>
      <c r="E2" s="10" t="n">
        <v>1</v>
      </c>
    </row>
    <row r="3" customFormat="false" ht="15" hidden="false" customHeight="false" outlineLevel="0" collapsed="false">
      <c r="A3" s="10" t="s">
        <v>40</v>
      </c>
      <c r="B3" s="10" t="s">
        <v>41</v>
      </c>
      <c r="C3" s="10" t="s">
        <v>42</v>
      </c>
      <c r="D3" s="10" t="s">
        <v>43</v>
      </c>
      <c r="E3" s="10" t="n">
        <v>2</v>
      </c>
    </row>
    <row r="4" customFormat="false" ht="15" hidden="false" customHeight="false" outlineLevel="0" collapsed="false">
      <c r="A4" s="10" t="s">
        <v>44</v>
      </c>
      <c r="B4" s="10" t="s">
        <v>45</v>
      </c>
      <c r="C4" s="10" t="s">
        <v>46</v>
      </c>
      <c r="D4" s="10" t="s">
        <v>47</v>
      </c>
      <c r="E4" s="10" t="n">
        <v>3</v>
      </c>
    </row>
    <row r="5" customFormat="false" ht="15" hidden="false" customHeight="false" outlineLevel="0" collapsed="false">
      <c r="A5" s="10" t="s">
        <v>48</v>
      </c>
      <c r="B5" s="10" t="s">
        <v>49</v>
      </c>
      <c r="C5" s="10" t="s">
        <v>50</v>
      </c>
      <c r="D5" s="10" t="s">
        <v>51</v>
      </c>
      <c r="E5" s="10" t="n">
        <v>4</v>
      </c>
    </row>
    <row r="6" customFormat="false" ht="15" hidden="false" customHeight="false" outlineLevel="0" collapsed="false">
      <c r="A6" s="10" t="s">
        <v>52</v>
      </c>
      <c r="B6" s="10" t="s">
        <v>53</v>
      </c>
      <c r="C6" s="10" t="s">
        <v>54</v>
      </c>
      <c r="D6" s="10" t="s">
        <v>55</v>
      </c>
      <c r="E6" s="10" t="n">
        <v>5</v>
      </c>
    </row>
    <row r="7" customFormat="false" ht="15" hidden="false" customHeight="false" outlineLevel="0" collapsed="false">
      <c r="A7" s="10" t="s">
        <v>56</v>
      </c>
      <c r="B7" s="10" t="s">
        <v>57</v>
      </c>
      <c r="C7" s="10" t="s">
        <v>58</v>
      </c>
      <c r="D7" s="10" t="s">
        <v>59</v>
      </c>
      <c r="E7" s="10" t="n">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30"/>
    <col collapsed="false" customWidth="true" hidden="false" outlineLevel="0" max="4" min="4" style="0" width="50"/>
    <col collapsed="false" customWidth="true" hidden="false" outlineLevel="0" max="5" min="5" style="0" width="80"/>
    <col collapsed="false" customWidth="true" hidden="false" outlineLevel="0" max="6" min="6" style="0" width="28"/>
    <col collapsed="false" customWidth="true" hidden="false" outlineLevel="0" max="7" min="7" style="0" width="38"/>
    <col collapsed="false" customWidth="true" hidden="false" outlineLevel="0" max="8" min="8" style="0" width="13"/>
    <col collapsed="false" customWidth="true" hidden="false" outlineLevel="0" max="9" min="9" style="0" width="8"/>
    <col collapsed="false" customWidth="true" hidden="false" outlineLevel="0" max="10" min="10" style="0" width="9"/>
  </cols>
  <sheetData>
    <row r="1" customFormat="false" ht="15" hidden="false" customHeight="false" outlineLevel="0" collapsed="false">
      <c r="A1" s="11" t="s">
        <v>31</v>
      </c>
      <c r="B1" s="11" t="s">
        <v>60</v>
      </c>
      <c r="C1" s="11" t="s">
        <v>61</v>
      </c>
      <c r="D1" s="11" t="s">
        <v>62</v>
      </c>
      <c r="E1" s="11" t="s">
        <v>63</v>
      </c>
      <c r="F1" s="11" t="s">
        <v>21</v>
      </c>
      <c r="G1" s="11" t="s">
        <v>64</v>
      </c>
      <c r="H1" s="11" t="s">
        <v>23</v>
      </c>
      <c r="I1" s="11" t="s">
        <v>65</v>
      </c>
      <c r="J1" s="11" t="s">
        <v>35</v>
      </c>
    </row>
    <row r="2" customFormat="false" ht="68.65" hidden="false" customHeight="false" outlineLevel="0" collapsed="false">
      <c r="A2" s="10" t="s">
        <v>66</v>
      </c>
      <c r="B2" s="10" t="s">
        <v>36</v>
      </c>
      <c r="C2" s="10" t="s">
        <v>67</v>
      </c>
      <c r="D2" s="10" t="s">
        <v>68</v>
      </c>
      <c r="E2" s="10" t="s">
        <v>69</v>
      </c>
      <c r="F2" s="10" t="s">
        <v>70</v>
      </c>
      <c r="G2" s="10" t="s">
        <v>71</v>
      </c>
      <c r="H2" s="10" t="s">
        <v>72</v>
      </c>
      <c r="I2" s="10" t="s">
        <v>73</v>
      </c>
      <c r="J2" s="10" t="n">
        <v>1</v>
      </c>
    </row>
    <row r="3" customFormat="false" ht="46.25" hidden="false" customHeight="false" outlineLevel="0" collapsed="false">
      <c r="A3" s="10" t="s">
        <v>74</v>
      </c>
      <c r="B3" s="10" t="s">
        <v>36</v>
      </c>
      <c r="C3" s="10" t="s">
        <v>75</v>
      </c>
      <c r="D3" s="10" t="s">
        <v>76</v>
      </c>
      <c r="E3" s="10" t="s">
        <v>77</v>
      </c>
      <c r="F3" s="10" t="s">
        <v>78</v>
      </c>
      <c r="G3" s="10" t="s">
        <v>71</v>
      </c>
      <c r="H3" s="10" t="s">
        <v>72</v>
      </c>
      <c r="I3" s="10" t="s">
        <v>73</v>
      </c>
      <c r="J3" s="10" t="n">
        <v>2</v>
      </c>
    </row>
    <row r="4" customFormat="false" ht="57.45" hidden="false" customHeight="false" outlineLevel="0" collapsed="false">
      <c r="A4" s="10" t="s">
        <v>79</v>
      </c>
      <c r="B4" s="10" t="s">
        <v>36</v>
      </c>
      <c r="C4" s="10" t="s">
        <v>80</v>
      </c>
      <c r="D4" s="10" t="s">
        <v>81</v>
      </c>
      <c r="E4" s="10" t="s">
        <v>82</v>
      </c>
      <c r="F4" s="10" t="s">
        <v>83</v>
      </c>
      <c r="G4" s="10" t="s">
        <v>71</v>
      </c>
      <c r="H4" s="10" t="s">
        <v>72</v>
      </c>
      <c r="I4" s="10" t="s">
        <v>73</v>
      </c>
      <c r="J4" s="10" t="n">
        <v>3</v>
      </c>
    </row>
    <row r="5" customFormat="false" ht="57.45" hidden="false" customHeight="false" outlineLevel="0" collapsed="false">
      <c r="A5" s="10" t="s">
        <v>84</v>
      </c>
      <c r="B5" s="10" t="s">
        <v>36</v>
      </c>
      <c r="C5" s="10" t="s">
        <v>85</v>
      </c>
      <c r="D5" s="10" t="s">
        <v>86</v>
      </c>
      <c r="E5" s="10" t="s">
        <v>87</v>
      </c>
      <c r="F5" s="10" t="s">
        <v>88</v>
      </c>
      <c r="G5" s="10" t="s">
        <v>71</v>
      </c>
      <c r="H5" s="10" t="s">
        <v>72</v>
      </c>
      <c r="I5" s="10" t="s">
        <v>73</v>
      </c>
      <c r="J5" s="10" t="n">
        <v>4</v>
      </c>
    </row>
    <row r="6" customFormat="false" ht="57.45" hidden="false" customHeight="false" outlineLevel="0" collapsed="false">
      <c r="A6" s="10" t="s">
        <v>89</v>
      </c>
      <c r="B6" s="10" t="s">
        <v>36</v>
      </c>
      <c r="C6" s="10" t="s">
        <v>90</v>
      </c>
      <c r="D6" s="10" t="s">
        <v>91</v>
      </c>
      <c r="E6" s="10" t="s">
        <v>92</v>
      </c>
      <c r="F6" s="10" t="s">
        <v>93</v>
      </c>
      <c r="G6" s="10" t="s">
        <v>71</v>
      </c>
      <c r="H6" s="10" t="s">
        <v>72</v>
      </c>
      <c r="I6" s="10" t="s">
        <v>73</v>
      </c>
      <c r="J6" s="10" t="n">
        <v>5</v>
      </c>
    </row>
    <row r="7" customFormat="false" ht="46.25" hidden="false" customHeight="false" outlineLevel="0" collapsed="false">
      <c r="A7" s="10" t="s">
        <v>94</v>
      </c>
      <c r="B7" s="10" t="s">
        <v>36</v>
      </c>
      <c r="C7" s="10" t="s">
        <v>95</v>
      </c>
      <c r="D7" s="10" t="s">
        <v>96</v>
      </c>
      <c r="E7" s="10" t="s">
        <v>97</v>
      </c>
      <c r="F7" s="10" t="s">
        <v>98</v>
      </c>
      <c r="G7" s="10" t="s">
        <v>71</v>
      </c>
      <c r="H7" s="10" t="s">
        <v>72</v>
      </c>
      <c r="I7" s="10" t="s">
        <v>73</v>
      </c>
      <c r="J7" s="10" t="n">
        <v>6</v>
      </c>
    </row>
    <row r="8" customFormat="false" ht="57.45" hidden="false" customHeight="false" outlineLevel="0" collapsed="false">
      <c r="A8" s="10" t="s">
        <v>99</v>
      </c>
      <c r="B8" s="10" t="s">
        <v>36</v>
      </c>
      <c r="C8" s="10" t="s">
        <v>100</v>
      </c>
      <c r="D8" s="10" t="s">
        <v>101</v>
      </c>
      <c r="E8" s="10" t="s">
        <v>102</v>
      </c>
      <c r="F8" s="10" t="s">
        <v>103</v>
      </c>
      <c r="G8" s="10" t="s">
        <v>71</v>
      </c>
      <c r="H8" s="10" t="s">
        <v>72</v>
      </c>
      <c r="I8" s="10" t="s">
        <v>73</v>
      </c>
      <c r="J8" s="10" t="n">
        <v>7</v>
      </c>
    </row>
    <row r="9" customFormat="false" ht="57.45" hidden="false" customHeight="false" outlineLevel="0" collapsed="false">
      <c r="A9" s="10" t="s">
        <v>104</v>
      </c>
      <c r="B9" s="10" t="s">
        <v>36</v>
      </c>
      <c r="C9" s="10" t="s">
        <v>105</v>
      </c>
      <c r="D9" s="10" t="s">
        <v>106</v>
      </c>
      <c r="E9" s="10" t="s">
        <v>107</v>
      </c>
      <c r="F9" s="10" t="s">
        <v>108</v>
      </c>
      <c r="G9" s="10" t="s">
        <v>71</v>
      </c>
      <c r="H9" s="10" t="s">
        <v>72</v>
      </c>
      <c r="I9" s="10" t="s">
        <v>73</v>
      </c>
      <c r="J9" s="10" t="n">
        <v>8</v>
      </c>
    </row>
    <row r="10" customFormat="false" ht="57.45" hidden="false" customHeight="false" outlineLevel="0" collapsed="false">
      <c r="A10" s="10" t="s">
        <v>109</v>
      </c>
      <c r="B10" s="10" t="s">
        <v>36</v>
      </c>
      <c r="C10" s="10" t="s">
        <v>110</v>
      </c>
      <c r="D10" s="10" t="s">
        <v>111</v>
      </c>
      <c r="E10" s="10" t="s">
        <v>112</v>
      </c>
      <c r="F10" s="10" t="s">
        <v>113</v>
      </c>
      <c r="G10" s="10" t="s">
        <v>71</v>
      </c>
      <c r="H10" s="10" t="s">
        <v>72</v>
      </c>
      <c r="I10" s="10" t="s">
        <v>73</v>
      </c>
      <c r="J10" s="10" t="n">
        <v>9</v>
      </c>
    </row>
    <row r="11" customFormat="false" ht="46.25" hidden="false" customHeight="false" outlineLevel="0" collapsed="false">
      <c r="A11" s="10" t="s">
        <v>114</v>
      </c>
      <c r="B11" s="10" t="s">
        <v>36</v>
      </c>
      <c r="C11" s="10" t="s">
        <v>115</v>
      </c>
      <c r="D11" s="10" t="s">
        <v>116</v>
      </c>
      <c r="E11" s="10" t="s">
        <v>117</v>
      </c>
      <c r="F11" s="10" t="s">
        <v>118</v>
      </c>
      <c r="G11" s="10" t="s">
        <v>71</v>
      </c>
      <c r="H11" s="10" t="s">
        <v>72</v>
      </c>
      <c r="I11" s="10" t="s">
        <v>73</v>
      </c>
      <c r="J11" s="10" t="n">
        <v>10</v>
      </c>
    </row>
    <row r="12" customFormat="false" ht="57.45" hidden="false" customHeight="false" outlineLevel="0" collapsed="false">
      <c r="A12" s="10" t="s">
        <v>119</v>
      </c>
      <c r="B12" s="10" t="s">
        <v>36</v>
      </c>
      <c r="C12" s="10" t="s">
        <v>120</v>
      </c>
      <c r="D12" s="10" t="s">
        <v>121</v>
      </c>
      <c r="E12" s="10" t="s">
        <v>122</v>
      </c>
      <c r="F12" s="10" t="s">
        <v>123</v>
      </c>
      <c r="G12" s="10" t="s">
        <v>71</v>
      </c>
      <c r="H12" s="10" t="s">
        <v>72</v>
      </c>
      <c r="I12" s="10" t="s">
        <v>73</v>
      </c>
      <c r="J12" s="10" t="n">
        <v>11</v>
      </c>
    </row>
    <row r="13" customFormat="false" ht="46.25" hidden="false" customHeight="false" outlineLevel="0" collapsed="false">
      <c r="A13" s="10" t="s">
        <v>124</v>
      </c>
      <c r="B13" s="10" t="s">
        <v>36</v>
      </c>
      <c r="C13" s="10" t="s">
        <v>125</v>
      </c>
      <c r="D13" s="10" t="s">
        <v>126</v>
      </c>
      <c r="E13" s="10" t="s">
        <v>127</v>
      </c>
      <c r="F13" s="10" t="s">
        <v>128</v>
      </c>
      <c r="G13" s="10" t="s">
        <v>71</v>
      </c>
      <c r="H13" s="10" t="s">
        <v>72</v>
      </c>
      <c r="I13" s="10" t="s">
        <v>73</v>
      </c>
      <c r="J13" s="10" t="n">
        <v>12</v>
      </c>
    </row>
    <row r="14" customFormat="false" ht="57.45" hidden="false" customHeight="false" outlineLevel="0" collapsed="false">
      <c r="A14" s="10" t="s">
        <v>129</v>
      </c>
      <c r="B14" s="10" t="s">
        <v>36</v>
      </c>
      <c r="C14" s="10" t="s">
        <v>130</v>
      </c>
      <c r="D14" s="10" t="s">
        <v>131</v>
      </c>
      <c r="E14" s="10" t="s">
        <v>132</v>
      </c>
      <c r="F14" s="10" t="s">
        <v>133</v>
      </c>
      <c r="G14" s="10" t="s">
        <v>71</v>
      </c>
      <c r="H14" s="10" t="s">
        <v>72</v>
      </c>
      <c r="I14" s="10" t="s">
        <v>73</v>
      </c>
      <c r="J14" s="10" t="n">
        <v>13</v>
      </c>
    </row>
    <row r="15" customFormat="false" ht="23.85" hidden="false" customHeight="false" outlineLevel="0" collapsed="false">
      <c r="A15" s="10" t="s">
        <v>134</v>
      </c>
      <c r="B15" s="10" t="s">
        <v>36</v>
      </c>
      <c r="C15" s="10" t="s">
        <v>135</v>
      </c>
      <c r="D15" s="10" t="s">
        <v>136</v>
      </c>
      <c r="E15" s="10" t="s">
        <v>137</v>
      </c>
      <c r="F15" s="10" t="s">
        <v>138</v>
      </c>
      <c r="G15" s="10" t="s">
        <v>71</v>
      </c>
      <c r="H15" s="10" t="s">
        <v>72</v>
      </c>
      <c r="I15" s="10" t="s">
        <v>73</v>
      </c>
      <c r="J15" s="10" t="n">
        <v>14</v>
      </c>
    </row>
    <row r="16" customFormat="false" ht="23.85" hidden="false" customHeight="false" outlineLevel="0" collapsed="false">
      <c r="A16" s="10" t="s">
        <v>139</v>
      </c>
      <c r="B16" s="10" t="s">
        <v>36</v>
      </c>
      <c r="C16" s="10" t="s">
        <v>140</v>
      </c>
      <c r="D16" s="10" t="s">
        <v>141</v>
      </c>
      <c r="E16" s="10" t="s">
        <v>142</v>
      </c>
      <c r="F16" s="10" t="s">
        <v>143</v>
      </c>
      <c r="G16" s="10" t="s">
        <v>71</v>
      </c>
      <c r="H16" s="10" t="s">
        <v>72</v>
      </c>
      <c r="I16" s="10" t="s">
        <v>73</v>
      </c>
      <c r="J16" s="10" t="n">
        <v>15</v>
      </c>
    </row>
    <row r="17" customFormat="false" ht="23.85" hidden="false" customHeight="false" outlineLevel="0" collapsed="false">
      <c r="A17" s="10" t="s">
        <v>144</v>
      </c>
      <c r="B17" s="10" t="s">
        <v>36</v>
      </c>
      <c r="C17" s="10" t="s">
        <v>145</v>
      </c>
      <c r="D17" s="10" t="s">
        <v>146</v>
      </c>
      <c r="E17" s="10" t="s">
        <v>147</v>
      </c>
      <c r="F17" s="10" t="s">
        <v>148</v>
      </c>
      <c r="G17" s="10" t="s">
        <v>71</v>
      </c>
      <c r="H17" s="10" t="s">
        <v>72</v>
      </c>
      <c r="I17" s="10" t="s">
        <v>73</v>
      </c>
      <c r="J17" s="10" t="n">
        <v>16</v>
      </c>
    </row>
    <row r="18" customFormat="false" ht="46.25" hidden="false" customHeight="false" outlineLevel="0" collapsed="false">
      <c r="A18" s="10" t="s">
        <v>149</v>
      </c>
      <c r="B18" s="10" t="s">
        <v>36</v>
      </c>
      <c r="C18" s="10" t="s">
        <v>150</v>
      </c>
      <c r="D18" s="10" t="s">
        <v>151</v>
      </c>
      <c r="E18" s="10" t="s">
        <v>152</v>
      </c>
      <c r="F18" s="10" t="s">
        <v>153</v>
      </c>
      <c r="G18" s="10" t="s">
        <v>71</v>
      </c>
      <c r="H18" s="10" t="s">
        <v>72</v>
      </c>
      <c r="I18" s="10" t="s">
        <v>73</v>
      </c>
      <c r="J18" s="10" t="n">
        <v>17</v>
      </c>
    </row>
    <row r="19" customFormat="false" ht="23.85" hidden="false" customHeight="false" outlineLevel="0" collapsed="false">
      <c r="A19" s="10" t="s">
        <v>154</v>
      </c>
      <c r="B19" s="10" t="s">
        <v>36</v>
      </c>
      <c r="C19" s="10" t="s">
        <v>155</v>
      </c>
      <c r="D19" s="10" t="s">
        <v>156</v>
      </c>
      <c r="E19" s="10" t="s">
        <v>157</v>
      </c>
      <c r="F19" s="10" t="s">
        <v>158</v>
      </c>
      <c r="G19" s="10" t="s">
        <v>71</v>
      </c>
      <c r="H19" s="10" t="s">
        <v>72</v>
      </c>
      <c r="I19" s="10" t="s">
        <v>73</v>
      </c>
      <c r="J19" s="10" t="n">
        <v>18</v>
      </c>
    </row>
    <row r="20" customFormat="false" ht="23.85" hidden="false" customHeight="false" outlineLevel="0" collapsed="false">
      <c r="A20" s="10" t="s">
        <v>159</v>
      </c>
      <c r="B20" s="10" t="s">
        <v>36</v>
      </c>
      <c r="C20" s="10" t="s">
        <v>160</v>
      </c>
      <c r="D20" s="10" t="s">
        <v>161</v>
      </c>
      <c r="E20" s="10" t="s">
        <v>162</v>
      </c>
      <c r="F20" s="10" t="s">
        <v>163</v>
      </c>
      <c r="G20" s="10" t="s">
        <v>71</v>
      </c>
      <c r="H20" s="10" t="s">
        <v>72</v>
      </c>
      <c r="I20" s="10" t="s">
        <v>73</v>
      </c>
      <c r="J20" s="10" t="n">
        <v>19</v>
      </c>
    </row>
    <row r="21" customFormat="false" ht="23.85" hidden="false" customHeight="false" outlineLevel="0" collapsed="false">
      <c r="A21" s="10" t="s">
        <v>164</v>
      </c>
      <c r="B21" s="10" t="s">
        <v>36</v>
      </c>
      <c r="C21" s="10" t="s">
        <v>165</v>
      </c>
      <c r="D21" s="10" t="s">
        <v>166</v>
      </c>
      <c r="E21" s="10" t="s">
        <v>167</v>
      </c>
      <c r="F21" s="10" t="s">
        <v>168</v>
      </c>
      <c r="G21" s="10" t="s">
        <v>71</v>
      </c>
      <c r="H21" s="10" t="s">
        <v>72</v>
      </c>
      <c r="I21" s="10" t="s">
        <v>73</v>
      </c>
      <c r="J21" s="10" t="n">
        <v>20</v>
      </c>
    </row>
    <row r="22" customFormat="false" ht="23.85" hidden="false" customHeight="false" outlineLevel="0" collapsed="false">
      <c r="A22" s="10" t="s">
        <v>169</v>
      </c>
      <c r="B22" s="10" t="s">
        <v>40</v>
      </c>
      <c r="C22" s="10" t="s">
        <v>170</v>
      </c>
      <c r="D22" s="10" t="s">
        <v>171</v>
      </c>
      <c r="E22" s="10" t="s">
        <v>172</v>
      </c>
      <c r="F22" s="10" t="s">
        <v>173</v>
      </c>
      <c r="G22" s="10" t="s">
        <v>71</v>
      </c>
      <c r="H22" s="10" t="s">
        <v>72</v>
      </c>
      <c r="I22" s="10" t="s">
        <v>73</v>
      </c>
      <c r="J22" s="10" t="n">
        <v>21</v>
      </c>
    </row>
    <row r="23" customFormat="false" ht="23.85" hidden="false" customHeight="false" outlineLevel="0" collapsed="false">
      <c r="A23" s="10" t="s">
        <v>174</v>
      </c>
      <c r="B23" s="10" t="s">
        <v>40</v>
      </c>
      <c r="C23" s="10" t="s">
        <v>175</v>
      </c>
      <c r="D23" s="10" t="s">
        <v>176</v>
      </c>
      <c r="E23" s="10" t="s">
        <v>177</v>
      </c>
      <c r="F23" s="10" t="s">
        <v>178</v>
      </c>
      <c r="G23" s="10" t="s">
        <v>71</v>
      </c>
      <c r="H23" s="10" t="s">
        <v>72</v>
      </c>
      <c r="I23" s="10" t="s">
        <v>73</v>
      </c>
      <c r="J23" s="10" t="n">
        <v>22</v>
      </c>
    </row>
    <row r="24" customFormat="false" ht="23.85" hidden="false" customHeight="false" outlineLevel="0" collapsed="false">
      <c r="A24" s="10" t="s">
        <v>179</v>
      </c>
      <c r="B24" s="10" t="s">
        <v>40</v>
      </c>
      <c r="C24" s="10" t="s">
        <v>180</v>
      </c>
      <c r="D24" s="10" t="s">
        <v>181</v>
      </c>
      <c r="E24" s="10" t="s">
        <v>182</v>
      </c>
      <c r="F24" s="10" t="s">
        <v>183</v>
      </c>
      <c r="G24" s="10" t="s">
        <v>71</v>
      </c>
      <c r="H24" s="10" t="s">
        <v>72</v>
      </c>
      <c r="I24" s="10" t="s">
        <v>73</v>
      </c>
      <c r="J24" s="10" t="n">
        <v>23</v>
      </c>
    </row>
    <row r="25" customFormat="false" ht="23.85" hidden="false" customHeight="false" outlineLevel="0" collapsed="false">
      <c r="A25" s="10" t="s">
        <v>184</v>
      </c>
      <c r="B25" s="10" t="s">
        <v>40</v>
      </c>
      <c r="C25" s="10" t="s">
        <v>185</v>
      </c>
      <c r="D25" s="10" t="s">
        <v>186</v>
      </c>
      <c r="E25" s="10" t="s">
        <v>187</v>
      </c>
      <c r="F25" s="10" t="s">
        <v>188</v>
      </c>
      <c r="G25" s="10" t="s">
        <v>71</v>
      </c>
      <c r="H25" s="10" t="s">
        <v>72</v>
      </c>
      <c r="I25" s="10" t="s">
        <v>73</v>
      </c>
      <c r="J25" s="10" t="n">
        <v>24</v>
      </c>
    </row>
    <row r="26" customFormat="false" ht="23.85" hidden="false" customHeight="false" outlineLevel="0" collapsed="false">
      <c r="A26" s="10" t="s">
        <v>189</v>
      </c>
      <c r="B26" s="10" t="s">
        <v>40</v>
      </c>
      <c r="C26" s="10" t="s">
        <v>190</v>
      </c>
      <c r="D26" s="10" t="s">
        <v>191</v>
      </c>
      <c r="E26" s="10" t="s">
        <v>192</v>
      </c>
      <c r="F26" s="10" t="s">
        <v>193</v>
      </c>
      <c r="G26" s="10" t="s">
        <v>71</v>
      </c>
      <c r="H26" s="10" t="s">
        <v>72</v>
      </c>
      <c r="I26" s="10" t="s">
        <v>73</v>
      </c>
      <c r="J26" s="10" t="n">
        <v>25</v>
      </c>
    </row>
    <row r="27" customFormat="false" ht="23.85" hidden="false" customHeight="false" outlineLevel="0" collapsed="false">
      <c r="A27" s="10" t="s">
        <v>194</v>
      </c>
      <c r="B27" s="10" t="s">
        <v>40</v>
      </c>
      <c r="C27" s="10" t="s">
        <v>195</v>
      </c>
      <c r="D27" s="10" t="s">
        <v>196</v>
      </c>
      <c r="E27" s="10" t="s">
        <v>197</v>
      </c>
      <c r="F27" s="10" t="s">
        <v>198</v>
      </c>
      <c r="G27" s="10" t="s">
        <v>71</v>
      </c>
      <c r="H27" s="10" t="s">
        <v>72</v>
      </c>
      <c r="I27" s="10" t="s">
        <v>73</v>
      </c>
      <c r="J27" s="10" t="n">
        <v>26</v>
      </c>
    </row>
    <row r="28" customFormat="false" ht="35.05" hidden="false" customHeight="false" outlineLevel="0" collapsed="false">
      <c r="A28" s="10" t="s">
        <v>199</v>
      </c>
      <c r="B28" s="10" t="s">
        <v>40</v>
      </c>
      <c r="C28" s="10" t="s">
        <v>200</v>
      </c>
      <c r="D28" s="10" t="s">
        <v>201</v>
      </c>
      <c r="E28" s="10" t="s">
        <v>202</v>
      </c>
      <c r="F28" s="10" t="s">
        <v>203</v>
      </c>
      <c r="G28" s="10" t="s">
        <v>71</v>
      </c>
      <c r="H28" s="10" t="s">
        <v>72</v>
      </c>
      <c r="I28" s="10" t="s">
        <v>73</v>
      </c>
      <c r="J28" s="10" t="n">
        <v>27</v>
      </c>
    </row>
    <row r="29" customFormat="false" ht="57.45" hidden="false" customHeight="false" outlineLevel="0" collapsed="false">
      <c r="A29" s="10" t="s">
        <v>204</v>
      </c>
      <c r="B29" s="10" t="s">
        <v>40</v>
      </c>
      <c r="C29" s="10" t="s">
        <v>205</v>
      </c>
      <c r="D29" s="10" t="s">
        <v>206</v>
      </c>
      <c r="E29" s="10" t="s">
        <v>207</v>
      </c>
      <c r="F29" s="10" t="s">
        <v>208</v>
      </c>
      <c r="G29" s="10" t="s">
        <v>71</v>
      </c>
      <c r="H29" s="10" t="s">
        <v>72</v>
      </c>
      <c r="I29" s="10" t="s">
        <v>73</v>
      </c>
      <c r="J29" s="10" t="n">
        <v>28</v>
      </c>
    </row>
    <row r="30" customFormat="false" ht="57.45" hidden="false" customHeight="false" outlineLevel="0" collapsed="false">
      <c r="A30" s="10" t="s">
        <v>209</v>
      </c>
      <c r="B30" s="10" t="s">
        <v>40</v>
      </c>
      <c r="C30" s="10" t="s">
        <v>210</v>
      </c>
      <c r="D30" s="10" t="s">
        <v>211</v>
      </c>
      <c r="E30" s="10" t="s">
        <v>212</v>
      </c>
      <c r="F30" s="10" t="s">
        <v>213</v>
      </c>
      <c r="G30" s="10" t="s">
        <v>71</v>
      </c>
      <c r="H30" s="10" t="s">
        <v>72</v>
      </c>
      <c r="I30" s="10" t="s">
        <v>73</v>
      </c>
      <c r="J30" s="10" t="n">
        <v>29</v>
      </c>
    </row>
    <row r="31" customFormat="false" ht="57.45" hidden="false" customHeight="false" outlineLevel="0" collapsed="false">
      <c r="A31" s="10" t="s">
        <v>214</v>
      </c>
      <c r="B31" s="10" t="s">
        <v>40</v>
      </c>
      <c r="C31" s="10" t="s">
        <v>215</v>
      </c>
      <c r="D31" s="10" t="s">
        <v>216</v>
      </c>
      <c r="E31" s="10" t="s">
        <v>217</v>
      </c>
      <c r="F31" s="10" t="s">
        <v>218</v>
      </c>
      <c r="G31" s="10" t="s">
        <v>71</v>
      </c>
      <c r="H31" s="10" t="s">
        <v>72</v>
      </c>
      <c r="I31" s="10" t="s">
        <v>73</v>
      </c>
      <c r="J31" s="10" t="n">
        <v>30</v>
      </c>
    </row>
    <row r="32" customFormat="false" ht="57.45" hidden="false" customHeight="false" outlineLevel="0" collapsed="false">
      <c r="A32" s="10" t="s">
        <v>219</v>
      </c>
      <c r="B32" s="10" t="s">
        <v>40</v>
      </c>
      <c r="C32" s="10" t="s">
        <v>220</v>
      </c>
      <c r="D32" s="10" t="s">
        <v>221</v>
      </c>
      <c r="E32" s="10" t="s">
        <v>222</v>
      </c>
      <c r="F32" s="10" t="s">
        <v>223</v>
      </c>
      <c r="G32" s="10" t="s">
        <v>224</v>
      </c>
      <c r="H32" s="10" t="s">
        <v>72</v>
      </c>
      <c r="I32" s="10" t="s">
        <v>73</v>
      </c>
      <c r="J32" s="10" t="n">
        <v>31</v>
      </c>
    </row>
    <row r="33" customFormat="false" ht="23.85" hidden="false" customHeight="false" outlineLevel="0" collapsed="false">
      <c r="A33" s="10" t="s">
        <v>225</v>
      </c>
      <c r="B33" s="10" t="s">
        <v>40</v>
      </c>
      <c r="C33" s="10" t="s">
        <v>226</v>
      </c>
      <c r="D33" s="10" t="s">
        <v>227</v>
      </c>
      <c r="E33" s="10" t="s">
        <v>228</v>
      </c>
      <c r="F33" s="10" t="s">
        <v>229</v>
      </c>
      <c r="G33" s="10" t="s">
        <v>71</v>
      </c>
      <c r="H33" s="10" t="s">
        <v>72</v>
      </c>
      <c r="I33" s="10" t="s">
        <v>73</v>
      </c>
      <c r="J33" s="10" t="n">
        <v>32</v>
      </c>
    </row>
    <row r="34" customFormat="false" ht="147" hidden="false" customHeight="false" outlineLevel="0" collapsed="false">
      <c r="A34" s="10" t="s">
        <v>230</v>
      </c>
      <c r="B34" s="10" t="s">
        <v>44</v>
      </c>
      <c r="C34" s="10" t="s">
        <v>231</v>
      </c>
      <c r="D34" s="10" t="s">
        <v>232</v>
      </c>
      <c r="E34" s="10" t="s">
        <v>233</v>
      </c>
      <c r="F34" s="10" t="s">
        <v>234</v>
      </c>
      <c r="G34" s="10" t="s">
        <v>235</v>
      </c>
      <c r="H34" s="10" t="s">
        <v>72</v>
      </c>
      <c r="I34" s="10" t="s">
        <v>73</v>
      </c>
      <c r="J34" s="10" t="n">
        <v>33</v>
      </c>
    </row>
    <row r="35" customFormat="false" ht="102.2" hidden="false" customHeight="false" outlineLevel="0" collapsed="false">
      <c r="A35" s="10" t="s">
        <v>236</v>
      </c>
      <c r="B35" s="10" t="s">
        <v>44</v>
      </c>
      <c r="C35" s="10" t="s">
        <v>237</v>
      </c>
      <c r="D35" s="10" t="s">
        <v>238</v>
      </c>
      <c r="E35" s="10" t="s">
        <v>239</v>
      </c>
      <c r="F35" s="10" t="s">
        <v>240</v>
      </c>
      <c r="G35" s="10" t="s">
        <v>241</v>
      </c>
      <c r="H35" s="10" t="s">
        <v>72</v>
      </c>
      <c r="I35" s="10" t="s">
        <v>73</v>
      </c>
      <c r="J35" s="10" t="n">
        <v>34</v>
      </c>
    </row>
    <row r="36" customFormat="false" ht="147" hidden="false" customHeight="false" outlineLevel="0" collapsed="false">
      <c r="A36" s="10" t="s">
        <v>242</v>
      </c>
      <c r="B36" s="10" t="s">
        <v>44</v>
      </c>
      <c r="C36" s="10" t="s">
        <v>243</v>
      </c>
      <c r="D36" s="10" t="s">
        <v>244</v>
      </c>
      <c r="E36" s="10" t="s">
        <v>245</v>
      </c>
      <c r="F36" s="10" t="s">
        <v>246</v>
      </c>
      <c r="G36" s="10" t="s">
        <v>247</v>
      </c>
      <c r="H36" s="10" t="s">
        <v>72</v>
      </c>
      <c r="I36" s="10" t="s">
        <v>73</v>
      </c>
      <c r="J36" s="10" t="n">
        <v>35</v>
      </c>
    </row>
    <row r="37" customFormat="false" ht="57.45" hidden="false" customHeight="false" outlineLevel="0" collapsed="false">
      <c r="A37" s="10" t="s">
        <v>248</v>
      </c>
      <c r="B37" s="10" t="s">
        <v>44</v>
      </c>
      <c r="C37" s="10" t="s">
        <v>249</v>
      </c>
      <c r="D37" s="10" t="s">
        <v>250</v>
      </c>
      <c r="E37" s="10" t="s">
        <v>251</v>
      </c>
      <c r="F37" s="10" t="s">
        <v>252</v>
      </c>
      <c r="G37" s="10" t="s">
        <v>253</v>
      </c>
      <c r="H37" s="10" t="s">
        <v>72</v>
      </c>
      <c r="I37" s="10" t="s">
        <v>73</v>
      </c>
      <c r="J37" s="10" t="n">
        <v>36</v>
      </c>
    </row>
    <row r="38" customFormat="false" ht="169.4" hidden="false" customHeight="false" outlineLevel="0" collapsed="false">
      <c r="A38" s="10" t="s">
        <v>254</v>
      </c>
      <c r="B38" s="10" t="s">
        <v>48</v>
      </c>
      <c r="C38" s="10" t="s">
        <v>255</v>
      </c>
      <c r="D38" s="10" t="s">
        <v>256</v>
      </c>
      <c r="E38" s="10" t="s">
        <v>257</v>
      </c>
      <c r="F38" s="10" t="s">
        <v>258</v>
      </c>
      <c r="G38" s="10" t="s">
        <v>259</v>
      </c>
      <c r="H38" s="10" t="s">
        <v>72</v>
      </c>
      <c r="I38" s="10" t="s">
        <v>73</v>
      </c>
      <c r="J38" s="10" t="n">
        <v>37</v>
      </c>
    </row>
    <row r="39" customFormat="false" ht="79.85" hidden="false" customHeight="false" outlineLevel="0" collapsed="false">
      <c r="A39" s="10" t="s">
        <v>260</v>
      </c>
      <c r="B39" s="10" t="s">
        <v>48</v>
      </c>
      <c r="C39" s="10" t="s">
        <v>261</v>
      </c>
      <c r="D39" s="10" t="s">
        <v>262</v>
      </c>
      <c r="E39" s="10" t="s">
        <v>263</v>
      </c>
      <c r="F39" s="10" t="s">
        <v>264</v>
      </c>
      <c r="G39" s="10" t="s">
        <v>265</v>
      </c>
      <c r="H39" s="10" t="s">
        <v>72</v>
      </c>
      <c r="I39" s="10" t="s">
        <v>73</v>
      </c>
      <c r="J39" s="10" t="n">
        <v>38</v>
      </c>
    </row>
    <row r="40" customFormat="false" ht="68.65" hidden="false" customHeight="false" outlineLevel="0" collapsed="false">
      <c r="A40" s="10" t="s">
        <v>266</v>
      </c>
      <c r="B40" s="10" t="s">
        <v>48</v>
      </c>
      <c r="C40" s="10" t="s">
        <v>267</v>
      </c>
      <c r="D40" s="10" t="s">
        <v>268</v>
      </c>
      <c r="E40" s="10" t="s">
        <v>269</v>
      </c>
      <c r="F40" s="10" t="s">
        <v>270</v>
      </c>
      <c r="G40" s="10" t="s">
        <v>271</v>
      </c>
      <c r="H40" s="10" t="s">
        <v>72</v>
      </c>
      <c r="I40" s="10" t="s">
        <v>73</v>
      </c>
      <c r="J40" s="10" t="n">
        <v>39</v>
      </c>
    </row>
    <row r="41" customFormat="false" ht="68.65" hidden="false" customHeight="false" outlineLevel="0" collapsed="false">
      <c r="A41" s="10" t="s">
        <v>272</v>
      </c>
      <c r="B41" s="10" t="s">
        <v>48</v>
      </c>
      <c r="C41" s="10" t="s">
        <v>273</v>
      </c>
      <c r="D41" s="10" t="s">
        <v>274</v>
      </c>
      <c r="E41" s="10" t="s">
        <v>275</v>
      </c>
      <c r="F41" s="10" t="s">
        <v>276</v>
      </c>
      <c r="G41" s="10" t="s">
        <v>277</v>
      </c>
      <c r="H41" s="10" t="s">
        <v>72</v>
      </c>
      <c r="I41" s="10" t="s">
        <v>73</v>
      </c>
      <c r="J41" s="10" t="n">
        <v>40</v>
      </c>
    </row>
    <row r="42" customFormat="false" ht="91" hidden="false" customHeight="false" outlineLevel="0" collapsed="false">
      <c r="A42" s="10" t="s">
        <v>278</v>
      </c>
      <c r="B42" s="10" t="s">
        <v>52</v>
      </c>
      <c r="C42" s="10" t="s">
        <v>279</v>
      </c>
      <c r="D42" s="10" t="s">
        <v>280</v>
      </c>
      <c r="E42" s="10" t="s">
        <v>281</v>
      </c>
      <c r="F42" s="10" t="s">
        <v>282</v>
      </c>
      <c r="G42" s="10" t="s">
        <v>283</v>
      </c>
      <c r="H42" s="10" t="s">
        <v>72</v>
      </c>
      <c r="I42" s="10" t="s">
        <v>73</v>
      </c>
      <c r="J42" s="10" t="n">
        <v>41</v>
      </c>
    </row>
    <row r="43" customFormat="false" ht="57.45" hidden="false" customHeight="false" outlineLevel="0" collapsed="false">
      <c r="A43" s="10" t="s">
        <v>284</v>
      </c>
      <c r="B43" s="10" t="s">
        <v>52</v>
      </c>
      <c r="C43" s="10" t="s">
        <v>285</v>
      </c>
      <c r="D43" s="10" t="s">
        <v>286</v>
      </c>
      <c r="E43" s="10" t="s">
        <v>287</v>
      </c>
      <c r="F43" s="10" t="s">
        <v>288</v>
      </c>
      <c r="G43" s="10" t="s">
        <v>289</v>
      </c>
      <c r="H43" s="10" t="s">
        <v>72</v>
      </c>
      <c r="I43" s="10" t="s">
        <v>73</v>
      </c>
      <c r="J43" s="10" t="n">
        <v>42</v>
      </c>
    </row>
    <row r="44" customFormat="false" ht="35.05" hidden="false" customHeight="false" outlineLevel="0" collapsed="false">
      <c r="A44" s="10" t="s">
        <v>290</v>
      </c>
      <c r="B44" s="10" t="s">
        <v>56</v>
      </c>
      <c r="C44" s="10" t="s">
        <v>291</v>
      </c>
      <c r="D44" s="10" t="s">
        <v>292</v>
      </c>
      <c r="E44" s="10" t="s">
        <v>293</v>
      </c>
      <c r="F44" s="10" t="s">
        <v>294</v>
      </c>
      <c r="G44" s="10" t="s">
        <v>295</v>
      </c>
      <c r="H44" s="10" t="s">
        <v>72</v>
      </c>
      <c r="I44" s="10" t="s">
        <v>73</v>
      </c>
      <c r="J44" s="10" t="n">
        <v>43</v>
      </c>
    </row>
    <row r="45" customFormat="false" ht="23.85" hidden="false" customHeight="false" outlineLevel="0" collapsed="false">
      <c r="A45" s="10" t="s">
        <v>296</v>
      </c>
      <c r="B45" s="10" t="s">
        <v>56</v>
      </c>
      <c r="C45" s="10" t="s">
        <v>297</v>
      </c>
      <c r="D45" s="10" t="s">
        <v>298</v>
      </c>
      <c r="E45" s="10" t="s">
        <v>299</v>
      </c>
      <c r="F45" s="10" t="s">
        <v>300</v>
      </c>
      <c r="G45" s="10" t="s">
        <v>295</v>
      </c>
      <c r="H45" s="10" t="s">
        <v>72</v>
      </c>
      <c r="I45" s="10" t="s">
        <v>73</v>
      </c>
      <c r="J45" s="10" t="n">
        <v>44</v>
      </c>
    </row>
    <row r="46" customFormat="false" ht="46.25" hidden="false" customHeight="false" outlineLevel="0" collapsed="false">
      <c r="A46" s="10" t="s">
        <v>301</v>
      </c>
      <c r="B46" s="10" t="s">
        <v>56</v>
      </c>
      <c r="C46" s="10" t="s">
        <v>302</v>
      </c>
      <c r="D46" s="10" t="s">
        <v>303</v>
      </c>
      <c r="E46" s="10" t="s">
        <v>304</v>
      </c>
      <c r="F46" s="10" t="s">
        <v>305</v>
      </c>
      <c r="G46" s="10" t="s">
        <v>306</v>
      </c>
      <c r="H46" s="10" t="s">
        <v>72</v>
      </c>
      <c r="I46" s="10" t="s">
        <v>73</v>
      </c>
      <c r="J46" s="10" t="n">
        <v>45</v>
      </c>
    </row>
  </sheetData>
  <autoFilter ref="A1:J46"/>
  <dataValidations count="2">
    <dataValidation allowBlank="false" error="Pilih ID kategori dari sheet WIKI_KATEGORI." errorStyle="stop" errorTitle="Kategori tidak dikenal" operator="between" showDropDown="false" showErrorMessage="true" showInputMessage="false" sqref="B2:B1000" type="list">
      <formula1>WIKI_KATEGORI!$A$2:$A$50</formula1>
      <formula2>0</formula2>
    </dataValidation>
    <dataValidation allowBlank="false" errorStyle="stop" operator="between" showDropDown="false" showErrorMessage="true" showInputMessage="false" sqref="I2:I1000" type="list">
      <formula1>"Ya,Tidak"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2026-10-18T11:04:19Z</dcterms:created>
  <dc:creator>openpyxl</dc:creator>
  <dc:description/>
  <dc:language>en-US</dc:language>
  <cp:lastModifiedBy/>
  <dcterms:modified xsi:type="dcterms:W3CDTF">2026-10-18T11:04:19Z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